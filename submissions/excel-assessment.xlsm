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C15818E-CE18-4E12-84B4-DBF68786D291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2" i="19" l="1" a="1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B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  <c r="C5" i="15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<sst xmlns="http://schemas.openxmlformats.org/spreadsheetml/2006/main" count="405" uniqueCount="182">
  <si>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</si>
  <si>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</si>
  <si>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</si>
  <si>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</si>
  <si>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</si>
  <si>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</si>
  <si>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</si>
  <si>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</si>
  <si>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</si>
  <si>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</si>
  <si>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</si>
  <si>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</si>
  <si>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</si>
  <si>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</si>
  <si>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</si>
  <si>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</si>
  <si>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</si>
  <si>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</si>
  <si>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</si>
  <si>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</si>
  <si>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</si>
  <si>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</si>
  <si>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</si>
  <si>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</si>
  <si>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</si>
  <si>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</si>
  <si>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</si>
  <si>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</si>
  <si>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</si>
  <si>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</si>
  <si>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</si>
  <si>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</si>
  <si>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</si>
  <si>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</si>
  <si>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</si>
  <si>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</si>
  <si>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</si>
  <si>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</si>
  <si>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</si>
  <si>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</si>
  <si>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</si>
  <si>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</si>
  <si>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</si>
  <si>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</si>
  <si>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</si>
  <si>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</si>
  <si>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</si>
  <si>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</si>
  <si>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</si>
  <si>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</si>
  <si>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</si>
  <si>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</si>
  <si>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</si>
  <si>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</si>
  <si>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</si>
  <si>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</si>
  <si>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</si>
  <si>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</si>
  <si>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</si>
  <si>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</si>
  <si>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</si>
  <si>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</si>
  <si>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</si>
  <si>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</si>
  <si>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</si>
  <si>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</si>
  <si>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</si>
  <si>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</si>
  <si>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</si>
  <si>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</si>
  <si>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</si>
  <si>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</si>
  <si>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</si>
  <si>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</si>
  <si>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</si>
  <si>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</si>
  <si>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</si>
  <si>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</si>
  <si>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</si>
  <si>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</si>
  <si>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</si>
  <si>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</si>
  <si>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</si>
  <si>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</si>
  <si>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</si>
  <si>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</si>
  <si>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</si>
  <si>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</si>
  <si>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</si>
  <si>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</si>
  <si>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</si>
  <si>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</si>
  <si>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</si>
  <si>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</si>
  <si>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</si>
  <si>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</si>
  <si>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</si>
  <si>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</si>
  <si>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</si>
  <si>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</si>
  <si>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</si>
  <si>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</si>
  <si>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</si>
  <si>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</si>
  <si>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</si>
  <si>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</si>
  <si>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</si>
  <si>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</si>
  <si>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</si>
  <si>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</si>
  <si>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</si>
  <si>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</si>
  <si>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</si>
  <si>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</si>
  <si>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</si>
  <si>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</si>
  <si>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</si>
  <si>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</si>
  <si>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</si>
  <si>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</si>
  <si>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</si>
  <si>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</si>
  <si>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</si>
  <si>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</si>
  <si>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</si>
  <si>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</si>
  <si>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</si>
  <si>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</si>
  <si>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</si>
  <si>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</si>
  <si>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</si>
  <si>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</si>
  <si>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</si>
  <si>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</si>
  <si>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</si>
  <si>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</si>
  <si>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</si>
  <si>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</si>
  <si>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</si>
  <si>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</si>
  <si>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</si>
  <si>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</si>
  <si>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</si>
  <si>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</si>
  <si>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</si>
  <si>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</si>
  <si>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</si>
  <si>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</si>
  <si>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</si>
  <si>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</si>
  <si>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</si>
  <si>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</si>
  <si>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</si>
  <si>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</si>
  <si>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</si>
  <si>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</si>
  <si>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</si>
  <si>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</si>
  <si>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</si>
  <si>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</si>
  <si>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</si>
  <si>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</si>
  <si>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</si>
  <si>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</si>
  <si>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</si>
  <si>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</si>
  <si>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</si>
  <si>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</si>
  <si>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</si>
  <si>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</si>
  <si>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</si>
  <si>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</si>
  <si>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</si>
  <si>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</si>
  <si>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</si>
  <si>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</si>
  <si>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</si>
  <si>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formatted date</t>
  </si>
  <si>
    <t>Text to columns</t>
  </si>
  <si>
    <t>Selected the data to be splitted and clicked text to columns in the data menu and gave delimited as '-'  and gave the cell address of destination cells</t>
  </si>
  <si>
    <t>"=SUM(IF(ISNA(C12:C21), 20, C12:C21))"</t>
  </si>
  <si>
    <t>here sum fuction is used to find the sum. If fuction checks the condition whether the value in sales column is #N/A and if it is #N/A, then it is replaced by 20 or else value.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</si>
</sst>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I1" zoomScaleNormal="100" workbookViewId="0">
      <pane ySplit="1" topLeftCell="A2" activePane="bottomLeft" state="frozen"/>
      <selection activeCell="F1" sqref="F1"/>
      <selection pane="bottomLeft" activeCell="Q1" sqref="Q1:Q104857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5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  <c r="Y1" s="3" t="s">
        <v>177</v>
      </c>
    </row>
    <row r="2" spans="1:25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  <c r="Y2" s="1" t="str">
        <f>TEXT(X:X,"YYYY-MM-DD")</f>
        <v>2023-05-05</v>
      </c>
    </row>
    <row r="3" spans="1:25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1" t="str">
        <f t="shared" ref="Y3:Y40" si="0">TEXT(X:X,"YYYY-MM-DD")</f>
        <v>2023-05-02</v>
      </c>
    </row>
    <row r="4" spans="1:25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  <c r="Y4" s="1" t="str">
        <f t="shared" si="0"/>
        <v>2023-05-09</v>
      </c>
    </row>
    <row r="5" spans="1:25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  <c r="Y5" s="1" t="str">
        <f t="shared" si="0"/>
        <v>2023-05-13</v>
      </c>
    </row>
    <row r="6" spans="1:25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  <c r="Y6" s="1" t="str">
        <f t="shared" si="0"/>
        <v>2023-05-30</v>
      </c>
    </row>
    <row r="7" spans="1:25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  <c r="Y7" s="1" t="str">
        <f t="shared" si="0"/>
        <v>2023-05-11</v>
      </c>
    </row>
    <row r="8" spans="1:25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  <c r="Y8" s="1" t="str">
        <f t="shared" si="0"/>
        <v>2023-05-06</v>
      </c>
    </row>
    <row r="9" spans="1:25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  <c r="Y9" s="1" t="str">
        <f t="shared" si="0"/>
        <v>2023-06-21</v>
      </c>
    </row>
    <row r="10" spans="1:25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  <c r="Y10" s="1" t="str">
        <f t="shared" si="0"/>
        <v>2023-06-15</v>
      </c>
    </row>
    <row r="11" spans="1:25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  <c r="Y11" s="1" t="str">
        <f t="shared" si="0"/>
        <v>2023-06-27</v>
      </c>
    </row>
    <row r="12" spans="1:25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  <c r="Y12" s="1" t="str">
        <f t="shared" si="0"/>
        <v>2023-07-09</v>
      </c>
    </row>
    <row r="13" spans="1:25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  <c r="Y13" s="1" t="str">
        <f t="shared" si="0"/>
        <v>2023-07-03</v>
      </c>
    </row>
    <row r="14" spans="1:25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  <c r="Y14" s="1" t="str">
        <f t="shared" si="0"/>
        <v>2023-06-18</v>
      </c>
    </row>
    <row r="15" spans="1:25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  <c r="Y15" s="1" t="str">
        <f t="shared" si="0"/>
        <v>2023-07-06</v>
      </c>
    </row>
    <row r="16" spans="1:25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  <c r="Y16" s="1" t="str">
        <f t="shared" si="0"/>
        <v>2023-05-17</v>
      </c>
    </row>
    <row r="17" spans="1:25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  <c r="Y17" s="1" t="str">
        <f t="shared" si="0"/>
        <v>2023-05-25</v>
      </c>
    </row>
    <row r="18" spans="1:25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Y18" s="1" t="str">
        <f t="shared" si="0"/>
        <v>2023-06-08</v>
      </c>
    </row>
    <row r="19" spans="1:25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  <c r="Y19" s="1" t="str">
        <f t="shared" si="0"/>
        <v>2023-06-22</v>
      </c>
    </row>
    <row r="20" spans="1:25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  <c r="Y20" s="1" t="str">
        <f t="shared" si="0"/>
        <v>2023-06-14</v>
      </c>
    </row>
    <row r="21" spans="1:25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  <c r="Y21" s="1" t="str">
        <f t="shared" si="0"/>
        <v>2023-06-02</v>
      </c>
    </row>
    <row r="22" spans="1:25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  <c r="Y22" s="1" t="str">
        <f t="shared" si="0"/>
        <v>2023-05-29</v>
      </c>
    </row>
    <row r="23" spans="1:25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  <c r="Y23" s="1" t="str">
        <f t="shared" si="0"/>
        <v>2023-07-03</v>
      </c>
    </row>
    <row r="24" spans="1:25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  <c r="Y24" s="1" t="str">
        <f t="shared" si="0"/>
        <v>2023-07-07</v>
      </c>
    </row>
    <row r="25" spans="1:25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  <c r="Y25" s="1" t="str">
        <f t="shared" si="0"/>
        <v>2023-07-11</v>
      </c>
    </row>
    <row r="26" spans="1:25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  <c r="Y26" s="1" t="str">
        <f t="shared" si="0"/>
        <v>2023-08-04</v>
      </c>
    </row>
    <row r="27" spans="1:25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  <c r="Y27" s="1" t="str">
        <f t="shared" si="0"/>
        <v>2023-08-08</v>
      </c>
    </row>
    <row r="28" spans="1:25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  <c r="Y28" s="1" t="str">
        <f t="shared" si="0"/>
        <v>2023-07-01</v>
      </c>
    </row>
    <row r="29" spans="1:25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  <c r="Y29" s="1" t="str">
        <f t="shared" si="0"/>
        <v>2023-08-15</v>
      </c>
    </row>
    <row r="30" spans="1:25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  <c r="Y30" s="1" t="str">
        <f t="shared" si="0"/>
        <v>2023-08-12</v>
      </c>
    </row>
    <row r="31" spans="1:25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  <c r="Y31" s="1" t="str">
        <f t="shared" si="0"/>
        <v>2023-08-19</v>
      </c>
    </row>
    <row r="32" spans="1:25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  <c r="Y32" s="1" t="str">
        <f t="shared" si="0"/>
        <v>2023-08-05</v>
      </c>
    </row>
    <row r="33" spans="1:25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  <c r="Y33" s="1" t="str">
        <f t="shared" si="0"/>
        <v>2023-08-28</v>
      </c>
    </row>
    <row r="34" spans="1:25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  <c r="Y34" s="1" t="str">
        <f t="shared" si="0"/>
        <v>2023-08-24</v>
      </c>
    </row>
    <row r="35" spans="1:25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  <c r="Y35" s="1" t="str">
        <f t="shared" si="0"/>
        <v>2023-08-22</v>
      </c>
    </row>
    <row r="36" spans="1:25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  <c r="Y36" s="1" t="str">
        <f t="shared" si="0"/>
        <v>2023-09-10</v>
      </c>
    </row>
    <row r="37" spans="1:25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  <c r="Y37" s="1" t="str">
        <f t="shared" si="0"/>
        <v>2023-08-19</v>
      </c>
    </row>
    <row r="38" spans="1:25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  <c r="Y38" s="1" t="str">
        <f t="shared" si="0"/>
        <v>2023-08-05</v>
      </c>
    </row>
    <row r="39" spans="1:25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  <c r="Y39" s="1" t="str">
        <f t="shared" si="0"/>
        <v>2023-08-28</v>
      </c>
    </row>
    <row r="40" spans="1:25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  <c r="Y40" s="1" t="str">
        <f t="shared" si="0"/>
        <v>2023-08-24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">
    <cfRule type="cellIs" dxfId="2" priority="3" operator="equal">
      <formula>-1</formula>
    </cfRule>
  </conditionalFormatting>
  <conditionalFormatting sqref="A1:X40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>
        <f>SUMIF(Dataset!H:H,"&gt;20")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6" zoomScaleNormal="100" workbookViewId="0">
      <selection activeCell="H28" sqref="H28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VLOOKUP($A6,Dataset!$A:$Y,7,0)</f>
        <v>2.7</v>
      </c>
      <c r="C6" s="11">
        <f>VLOOKUP($A6,Dataset!$A:$Y,14,0)</f>
        <v>7.6</v>
      </c>
      <c r="D6" s="11">
        <f>VLOOKUP($A6,Dataset!$A:$Y,18,0)</f>
        <v>4.2</v>
      </c>
      <c r="E6" s="11">
        <f>VLOOKUP($A6,Dataset!$A:$Y,20,0)</f>
        <v>8.9</v>
      </c>
      <c r="F6" s="11">
        <f>VLOOKUP($A6,Dataset!$A:$Y,22,0)</f>
        <v>4.2</v>
      </c>
    </row>
    <row r="7" spans="1:7" ht="15" x14ac:dyDescent="0.25">
      <c r="A7" s="7" t="s">
        <v>4</v>
      </c>
      <c r="B7" s="11">
        <f>VLOOKUP(A7,Dataset!$A:$Y,7,0)</f>
        <v>2.7</v>
      </c>
      <c r="C7" s="11">
        <f>VLOOKUP($A7,Dataset!$A:$Y,14,0)</f>
        <v>7.6</v>
      </c>
      <c r="D7" s="11">
        <f>VLOOKUP($A7,Dataset!$A:$Y,18,0)</f>
        <v>4.2</v>
      </c>
      <c r="E7" s="11">
        <f>VLOOKUP($A7,Dataset!$A:$Y,20,0)</f>
        <v>8.9</v>
      </c>
      <c r="F7" s="11">
        <f>VLOOKUP($A7,Dataset!$A:$Y,22,0)</f>
        <v>4.2</v>
      </c>
    </row>
    <row r="8" spans="1:7" ht="15" x14ac:dyDescent="0.25">
      <c r="A8" s="7" t="s">
        <v>7</v>
      </c>
      <c r="B8" s="11">
        <f>VLOOKUP(A8,Dataset!$A:$Y,7,0)</f>
        <v>3.6</v>
      </c>
      <c r="C8" s="11">
        <f>VLOOKUP($A8,Dataset!$A:$Y,14,0)</f>
        <v>11.1</v>
      </c>
      <c r="D8" s="11">
        <f>VLOOKUP($A8,Dataset!$A:$Y,18,0)</f>
        <v>5.8</v>
      </c>
      <c r="E8" s="11">
        <f>VLOOKUP($A8,Dataset!$A:$Y,20,0)</f>
        <v>12.2</v>
      </c>
      <c r="F8" s="11">
        <f>VLOOKUP($A8,Dataset!$A:$Y,22,0)</f>
        <v>5.8</v>
      </c>
    </row>
    <row r="9" spans="1:7" ht="15" x14ac:dyDescent="0.25">
      <c r="A9" s="7" t="s">
        <v>8</v>
      </c>
      <c r="B9" s="11">
        <f>VLOOKUP(A9,Dataset!$A:$Y,7,0)</f>
        <v>4.9000000000000004</v>
      </c>
      <c r="C9" s="11">
        <f>VLOOKUP($A9,Dataset!$A:$Y,14,0)</f>
        <v>13.3</v>
      </c>
      <c r="D9" s="11">
        <f>VLOOKUP($A9,Dataset!$A:$Y,18,0)</f>
        <v>8.1</v>
      </c>
      <c r="E9" s="11">
        <f>VLOOKUP($A9,Dataset!$A:$Y,20,0)</f>
        <v>17</v>
      </c>
      <c r="F9" s="11">
        <f>VLOOKUP($A9,Dataset!$A:$Y,22,0)</f>
        <v>8.1</v>
      </c>
    </row>
    <row r="10" spans="1:7" ht="15" x14ac:dyDescent="0.25">
      <c r="A10" s="7" t="s">
        <v>11</v>
      </c>
      <c r="B10" s="11">
        <f>VLOOKUP(A10,Dataset!$A:$Y,7,0)</f>
        <v>9.4</v>
      </c>
      <c r="C10" s="11">
        <f>VLOOKUP($A10,Dataset!$A:$Y,14,0)</f>
        <v>28.3</v>
      </c>
      <c r="D10" s="11">
        <f>VLOOKUP($A10,Dataset!$A:$Y,18,0)</f>
        <v>16.100000000000001</v>
      </c>
      <c r="E10" s="11">
        <f>VLOOKUP($A10,Dataset!$A:$Y,20,0)</f>
        <v>32.799999999999997</v>
      </c>
      <c r="F10" s="11">
        <f>VLOOKUP($A10,Dataset!$A:$Y,22,0)</f>
        <v>16.100000000000001</v>
      </c>
    </row>
    <row r="11" spans="1:7" ht="15" x14ac:dyDescent="0.25">
      <c r="A11" s="7" t="s">
        <v>12</v>
      </c>
      <c r="B11" s="11">
        <f>VLOOKUP(A11,Dataset!$A:$Y,7,0)</f>
        <v>11.6</v>
      </c>
      <c r="C11" s="11">
        <f>VLOOKUP($A11,Dataset!$A:$Y,14,0)</f>
        <v>35.200000000000003</v>
      </c>
      <c r="D11" s="11">
        <f>VLOOKUP($A11,Dataset!$A:$Y,18,0)</f>
        <v>21.3</v>
      </c>
      <c r="E11" s="11">
        <f>VLOOKUP($A11,Dataset!$A:$Y,20,0)</f>
        <v>43</v>
      </c>
      <c r="F11" s="11">
        <f>VLOOKUP($A11,Dataset!$A:$Y,22,0)</f>
        <v>21.3</v>
      </c>
    </row>
    <row r="12" spans="1:7" ht="15" x14ac:dyDescent="0.25">
      <c r="A12" s="7" t="s">
        <v>14</v>
      </c>
      <c r="B12" s="11">
        <f>VLOOKUP(A12,Dataset!$A:$Y,7,0)</f>
        <v>18.399999999999999</v>
      </c>
      <c r="C12" s="11">
        <f>VLOOKUP($A12,Dataset!$A:$Y,14,0)</f>
        <v>55.6</v>
      </c>
      <c r="D12" s="11">
        <f>VLOOKUP($A12,Dataset!$A:$Y,18,0)</f>
        <v>33.799999999999997</v>
      </c>
      <c r="E12" s="11">
        <f>VLOOKUP($A12,Dataset!$A:$Y,20,0)</f>
        <v>67.900000000000006</v>
      </c>
      <c r="F12" s="11">
        <f>VLOOKUP($A12,Dataset!$A:$Y,22,0)</f>
        <v>33.799999999999997</v>
      </c>
    </row>
    <row r="13" spans="1:7" ht="15" x14ac:dyDescent="0.25">
      <c r="A13" s="7" t="s">
        <v>15</v>
      </c>
      <c r="B13" s="11">
        <f>VLOOKUP(A13,Dataset!$A:$Y,7,0)</f>
        <v>0</v>
      </c>
      <c r="C13" s="11">
        <f>VLOOKUP($A13,Dataset!$A:$Y,14,0)</f>
        <v>0</v>
      </c>
      <c r="D13" s="11">
        <f>VLOOKUP($A13,Dataset!$A:$Y,18,0)</f>
        <v>0</v>
      </c>
      <c r="E13" s="11">
        <f>VLOOKUP($A13,Dataset!$A:$Y,20,0)</f>
        <v>0</v>
      </c>
      <c r="F13" s="11">
        <f>VLOOKUP($A13,Dataset!$A:$Y,22,0)</f>
        <v>0</v>
      </c>
    </row>
    <row r="14" spans="1:7" ht="15" x14ac:dyDescent="0.25">
      <c r="A14" s="7" t="s">
        <v>16</v>
      </c>
      <c r="B14" s="11">
        <f>VLOOKUP(A14,Dataset!$A:$Y,7,0)</f>
        <v>21.9</v>
      </c>
      <c r="C14" s="11">
        <f>VLOOKUP($A14,Dataset!$A:$Y,14,0)</f>
        <v>61.5</v>
      </c>
      <c r="D14" s="11">
        <f>VLOOKUP($A14,Dataset!$A:$Y,18,0)</f>
        <v>40.1</v>
      </c>
      <c r="E14" s="11">
        <f>VLOOKUP($A14,Dataset!$A:$Y,20,0)</f>
        <v>76.599999999999994</v>
      </c>
      <c r="F14" s="11">
        <f>VLOOKUP($A14,Dataset!$A:$Y,22,0)</f>
        <v>40.1</v>
      </c>
    </row>
    <row r="15" spans="1:7" ht="15" x14ac:dyDescent="0.25">
      <c r="A15" s="7" t="s">
        <v>18</v>
      </c>
      <c r="B15" s="11">
        <f>VLOOKUP(A15,Dataset!$A:$Y,7,0)</f>
        <v>26.8</v>
      </c>
      <c r="C15" s="11">
        <f>VLOOKUP($A15,Dataset!$A:$Y,14,0)</f>
        <v>79.599999999999994</v>
      </c>
      <c r="D15" s="11">
        <f>VLOOKUP($A15,Dataset!$A:$Y,18,0)</f>
        <v>47.9</v>
      </c>
      <c r="E15" s="11">
        <f>VLOOKUP($A15,Dataset!$A:$Y,20,0)</f>
        <v>96.8</v>
      </c>
      <c r="F15" s="11">
        <f>VLOOKUP($A15,Dataset!$A:$Y,22,0)</f>
        <v>47.9</v>
      </c>
    </row>
    <row r="16" spans="1:7" ht="15" x14ac:dyDescent="0.25">
      <c r="A16" s="7" t="s">
        <v>20</v>
      </c>
      <c r="B16" s="11">
        <f>VLOOKUP(A16,Dataset!$A:$Y,7,0)</f>
        <v>28.5</v>
      </c>
      <c r="C16" s="11">
        <f>VLOOKUP($A16,Dataset!$A:$Y,14,0)</f>
        <v>85.4</v>
      </c>
      <c r="D16" s="11">
        <f>VLOOKUP($A16,Dataset!$A:$Y,18,0)</f>
        <v>52.3</v>
      </c>
      <c r="E16" s="11">
        <f>VLOOKUP($A16,Dataset!$A:$Y,20,0)</f>
        <v>106.1</v>
      </c>
      <c r="F16" s="11">
        <f>VLOOKUP($A16,Dataset!$A:$Y,22,0)</f>
        <v>52.3</v>
      </c>
    </row>
    <row r="17" spans="1:6" ht="15" x14ac:dyDescent="0.25">
      <c r="A17" s="7" t="s">
        <v>22</v>
      </c>
      <c r="B17" s="11">
        <f>VLOOKUP(A17,Dataset!$A:$Y,7,0)</f>
        <v>30.7</v>
      </c>
      <c r="C17" s="11">
        <f>VLOOKUP($A17,Dataset!$A:$Y,14,0)</f>
        <v>92.1</v>
      </c>
      <c r="D17" s="11">
        <f>VLOOKUP($A17,Dataset!$A:$Y,18,0)</f>
        <v>57</v>
      </c>
      <c r="E17" s="11">
        <f>VLOOKUP($A17,Dataset!$A:$Y,20,0)</f>
        <v>115.1</v>
      </c>
      <c r="F17" s="11">
        <f>VLOOKUP($A17,Dataset!$A:$Y,22,0)</f>
        <v>57</v>
      </c>
    </row>
    <row r="18" spans="1:6" ht="15" x14ac:dyDescent="0.25">
      <c r="A18" s="7" t="s">
        <v>23</v>
      </c>
      <c r="B18" s="11">
        <f>VLOOKUP(A18,Dataset!$A:$Y,7,0)</f>
        <v>33.799999999999997</v>
      </c>
      <c r="C18" s="11">
        <f>VLOOKUP($A18,Dataset!$A:$Y,14,0)</f>
        <v>101.3</v>
      </c>
      <c r="D18" s="11">
        <f>VLOOKUP($A18,Dataset!$A:$Y,18,0)</f>
        <v>61.4</v>
      </c>
      <c r="E18" s="11">
        <f>VLOOKUP($A18,Dataset!$A:$Y,20,0)</f>
        <v>124.4</v>
      </c>
      <c r="F18" s="11">
        <f>VLOOKUP($A18,Dataset!$A:$Y,22,0)</f>
        <v>61.4</v>
      </c>
    </row>
    <row r="19" spans="1:6" ht="15" x14ac:dyDescent="0.25">
      <c r="A19" s="7" t="s">
        <v>24</v>
      </c>
      <c r="B19" s="11">
        <f>VLOOKUP(A19,Dataset!$A:$Y,7,0)</f>
        <v>34.700000000000003</v>
      </c>
      <c r="C19" s="11">
        <f>VLOOKUP($A19,Dataset!$A:$Y,14,0)</f>
        <v>106.1</v>
      </c>
      <c r="D19" s="11">
        <f>VLOOKUP($A19,Dataset!$A:$Y,18,0)</f>
        <v>63.6</v>
      </c>
      <c r="E19" s="11">
        <f>VLOOKUP($A19,Dataset!$A:$Y,20,0)</f>
        <v>128.6</v>
      </c>
      <c r="F19" s="11">
        <f>VLOOKUP($A19,Dataset!$A:$Y,22,0)</f>
        <v>63.6</v>
      </c>
    </row>
    <row r="20" spans="1:6" ht="15" x14ac:dyDescent="0.25">
      <c r="A20" s="7" t="s">
        <v>28</v>
      </c>
      <c r="B20" s="11">
        <f>VLOOKUP(A20,Dataset!$A:$Y,7,0)</f>
        <v>0</v>
      </c>
      <c r="C20" s="11">
        <f>VLOOKUP($A20,Dataset!$A:$Y,14,0)</f>
        <v>0</v>
      </c>
      <c r="D20" s="11">
        <f>VLOOKUP($A20,Dataset!$A:$Y,18,0)</f>
        <v>0</v>
      </c>
      <c r="E20" s="11">
        <f>VLOOKUP($A20,Dataset!$A:$Y,20,0)</f>
        <v>0</v>
      </c>
      <c r="F20" s="11">
        <f>VLOOKUP($A20,Dataset!$A:$Y,22,0)</f>
        <v>0</v>
      </c>
    </row>
    <row r="21" spans="1:6" ht="15" x14ac:dyDescent="0.25">
      <c r="A21" s="7" t="s">
        <v>57</v>
      </c>
      <c r="B21" s="11">
        <f>VLOOKUP(A21,Dataset!$A:$Y,7,0)</f>
        <v>41.3</v>
      </c>
      <c r="C21" s="11">
        <f>VLOOKUP($A21,Dataset!$A:$Y,14,0)</f>
        <v>124.4</v>
      </c>
      <c r="D21" s="11">
        <f>VLOOKUP($A21,Dataset!$A:$Y,18,0)</f>
        <v>75</v>
      </c>
      <c r="E21" s="11">
        <f>VLOOKUP($A21,Dataset!$A:$Y,20,0)</f>
        <v>151.5</v>
      </c>
      <c r="F21" s="11">
        <f>VLOOKUP($A21,Dataset!$A:$Y,22,0)</f>
        <v>75</v>
      </c>
    </row>
    <row r="22" spans="1:6" ht="15" x14ac:dyDescent="0.25">
      <c r="A22" s="7" t="s">
        <v>58</v>
      </c>
      <c r="B22" s="11">
        <f>VLOOKUP(A22,Dataset!$A:$Y,7,0)</f>
        <v>-1</v>
      </c>
      <c r="C22" s="11">
        <f>VLOOKUP($A22,Dataset!$A:$Y,14,0)</f>
        <v>-1</v>
      </c>
      <c r="D22" s="11">
        <f>VLOOKUP($A22,Dataset!$A:$Y,18,0)</f>
        <v>-1</v>
      </c>
      <c r="E22" s="11">
        <f>VLOOKUP($A22,Dataset!$A:$Y,20,0)</f>
        <v>-1</v>
      </c>
      <c r="F22" s="11">
        <f>VLOOKUP($A22,Dataset!$A:$Y,22,0)</f>
        <v>-1</v>
      </c>
    </row>
    <row r="23" spans="1:6" ht="15" x14ac:dyDescent="0.25">
      <c r="A23" s="7" t="s">
        <v>31</v>
      </c>
      <c r="B23" s="11">
        <f>VLOOKUP(A23,Dataset!$A:$Y,7,0)</f>
        <v>45</v>
      </c>
      <c r="C23" s="11">
        <f>VLOOKUP($A23,Dataset!$A:$Y,14,0)</f>
        <v>133.4</v>
      </c>
      <c r="D23" s="11">
        <f>VLOOKUP($A23,Dataset!$A:$Y,18,0)</f>
        <v>79.400000000000006</v>
      </c>
      <c r="E23" s="11">
        <f>VLOOKUP($A23,Dataset!$A:$Y,20,0)</f>
        <v>160.9</v>
      </c>
      <c r="F23" s="11">
        <f>VLOOKUP($A23,Dataset!$A:$Y,22,0)</f>
        <v>79.400000000000006</v>
      </c>
    </row>
    <row r="24" spans="1:6" ht="15" x14ac:dyDescent="0.25">
      <c r="A24" s="7" t="s">
        <v>32</v>
      </c>
      <c r="B24" s="11">
        <f>VLOOKUP(A24,Dataset!$A:$Y,7,0)</f>
        <v>-1</v>
      </c>
      <c r="C24" s="11">
        <f>VLOOKUP($A24,Dataset!$A:$Y,14,0)</f>
        <v>-1</v>
      </c>
      <c r="D24" s="11">
        <f>VLOOKUP($A24,Dataset!$A:$Y,18,0)</f>
        <v>-1</v>
      </c>
      <c r="E24" s="11">
        <f>VLOOKUP($A24,Dataset!$A:$Y,20,0)</f>
        <v>-1</v>
      </c>
      <c r="F24" s="11">
        <f>VLOOKUP($A24,Dataset!$A:$Y,22,0)</f>
        <v>-1</v>
      </c>
    </row>
    <row r="25" spans="1:6" ht="15" x14ac:dyDescent="0.25">
      <c r="A25" s="7" t="s">
        <v>34</v>
      </c>
      <c r="B25" s="11">
        <f>VLOOKUP(A25,Dataset!$A:$Y,7,0)</f>
        <v>43.3</v>
      </c>
      <c r="C25" s="11">
        <f>VLOOKUP($A25,Dataset!$A:$Y,14,0)</f>
        <v>128.6</v>
      </c>
      <c r="D25" s="11">
        <f>VLOOKUP($A25,Dataset!$A:$Y,18,0)</f>
        <v>79.400000000000006</v>
      </c>
      <c r="E25" s="11">
        <f>VLOOKUP($A25,Dataset!$A:$Y,20,0)</f>
        <v>160.9</v>
      </c>
      <c r="F25" s="11">
        <f>VLOOKUP($A25,Dataset!$A:$Y,22,0)</f>
        <v>79.400000000000006</v>
      </c>
    </row>
    <row r="26" spans="1:6" ht="15" x14ac:dyDescent="0.25">
      <c r="A26" s="7" t="s">
        <v>37</v>
      </c>
      <c r="B26" s="11">
        <f>VLOOKUP(A26,Dataset!$A:$Y,7,0)</f>
        <v>49.1</v>
      </c>
      <c r="C26" s="11">
        <f>VLOOKUP($A26,Dataset!$A:$Y,14,0)</f>
        <v>146.80000000000001</v>
      </c>
      <c r="D26" s="11">
        <f>VLOOKUP($A26,Dataset!$A:$Y,18,0)</f>
        <v>90.9</v>
      </c>
      <c r="E26" s="11">
        <f>VLOOKUP($A26,Dataset!$A:$Y,20,0)</f>
        <v>183.5</v>
      </c>
      <c r="F26" s="11">
        <f>VLOOKUP($A26,Dataset!$A:$Y,22,0)</f>
        <v>90.9</v>
      </c>
    </row>
    <row r="27" spans="1:6" ht="15" x14ac:dyDescent="0.25">
      <c r="A27" s="7" t="s">
        <v>39</v>
      </c>
      <c r="B27" s="11">
        <f>VLOOKUP(A27,Dataset!$A:$Y,7,0)</f>
        <v>51.8</v>
      </c>
      <c r="C27" s="11">
        <f>VLOOKUP($A27,Dataset!$A:$Y,14,0)</f>
        <v>156.4</v>
      </c>
      <c r="D27" s="11">
        <f>VLOOKUP($A27,Dataset!$A:$Y,18,0)</f>
        <v>93.1</v>
      </c>
      <c r="E27" s="11">
        <f>VLOOKUP($A27,Dataset!$A:$Y,20,0)</f>
        <v>188.1</v>
      </c>
      <c r="F27" s="11">
        <f>VLOOKUP($A27,Dataset!$A:$Y,22,0)</f>
        <v>93.1</v>
      </c>
    </row>
    <row r="28" spans="1:6" ht="15" x14ac:dyDescent="0.25">
      <c r="A28" s="18" t="s">
        <v>82</v>
      </c>
      <c r="B28" s="11">
        <f>MIN(B6:B27)</f>
        <v>-1</v>
      </c>
      <c r="C28" s="11">
        <f t="shared" ref="C28:F28" si="0">MIN(C6:C27)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</row>
    <row r="29" spans="1:6" ht="15" x14ac:dyDescent="0.25">
      <c r="A29" s="18" t="s">
        <v>83</v>
      </c>
      <c r="B29" s="11">
        <f>MAX(B6:B27)</f>
        <v>51.8</v>
      </c>
      <c r="C29" s="11">
        <f t="shared" ref="C29:F29" si="1">MAX(C6:C27)</f>
        <v>156.4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5" x14ac:dyDescent="0.25">
      <c r="A30" s="18" t="s">
        <v>84</v>
      </c>
      <c r="B30" s="11">
        <f>AVERAGE(B6:B27)</f>
        <v>20.827272727272728</v>
      </c>
      <c r="C30" s="11">
        <f t="shared" ref="C30:F30" si="2">AVERAGE(C6:C27)</f>
        <v>62.377272727272725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B1" zoomScaleNormal="100" workbookViewId="0">
      <selection activeCell="B7" sqref="B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178</v>
      </c>
    </row>
    <row r="6" spans="1:10" ht="18.75" x14ac:dyDescent="0.3">
      <c r="A6" s="42" t="s">
        <v>153</v>
      </c>
      <c r="B6" s="39" t="s">
        <v>179</v>
      </c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9" sqref="B9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153</v>
      </c>
      <c r="B7" s="1" t="s">
        <v>181</v>
      </c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7"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/>
    </row>
    <row r="24" spans="1:14" ht="15" x14ac:dyDescent="0.25">
      <c r="A24" s="7">
        <v>10100</v>
      </c>
      <c r="B24" s="11">
        <v>10104</v>
      </c>
      <c r="C24" s="43"/>
    </row>
    <row r="25" spans="1:14" ht="15" x14ac:dyDescent="0.25">
      <c r="A25" s="7">
        <v>10108</v>
      </c>
      <c r="B25" s="11">
        <v>10102</v>
      </c>
      <c r="C25" s="43"/>
    </row>
    <row r="26" spans="1:14" ht="15" x14ac:dyDescent="0.25">
      <c r="A26" s="7">
        <v>10100</v>
      </c>
      <c r="B26" s="11">
        <v>10106</v>
      </c>
      <c r="C26" s="43"/>
    </row>
    <row r="27" spans="1:14" ht="15" x14ac:dyDescent="0.25">
      <c r="A27" s="7">
        <v>10108</v>
      </c>
      <c r="B27" s="11">
        <v>10110</v>
      </c>
      <c r="C27" s="43"/>
    </row>
    <row r="28" spans="1:14" ht="15" x14ac:dyDescent="0.25">
      <c r="A28" s="7">
        <v>10102</v>
      </c>
      <c r="B28" s="11">
        <v>10104</v>
      </c>
      <c r="C28" s="43"/>
    </row>
    <row r="29" spans="1:14" ht="15" x14ac:dyDescent="0.25">
      <c r="A29" s="7">
        <v>10106</v>
      </c>
      <c r="B29" s="11">
        <v>10108</v>
      </c>
      <c r="C29" s="43"/>
    </row>
    <row r="30" spans="1:14" ht="15" x14ac:dyDescent="0.25">
      <c r="A30" s="7">
        <v>10102</v>
      </c>
      <c r="B30" s="11">
        <v>10106</v>
      </c>
      <c r="C30" s="43"/>
    </row>
    <row r="31" spans="1:14" ht="15" x14ac:dyDescent="0.25">
      <c r="A31" s="7">
        <v>10110</v>
      </c>
      <c r="B31" s="11">
        <v>10114</v>
      </c>
      <c r="C31" s="43"/>
    </row>
    <row r="32" spans="1:14" ht="15" x14ac:dyDescent="0.25">
      <c r="A32" s="7">
        <v>10104</v>
      </c>
      <c r="B32" s="11">
        <v>10106</v>
      </c>
      <c r="C32" s="43"/>
    </row>
    <row r="33" spans="1:3" ht="15" x14ac:dyDescent="0.25">
      <c r="A33" s="7">
        <v>10110</v>
      </c>
      <c r="B33" s="11">
        <v>10112</v>
      </c>
      <c r="C33" s="43"/>
    </row>
    <row r="34" spans="1:3" ht="15" x14ac:dyDescent="0.25">
      <c r="A34" s="7">
        <v>10100</v>
      </c>
      <c r="B34" s="11">
        <v>10114</v>
      </c>
      <c r="C34" s="43"/>
    </row>
    <row r="35" spans="1:3" ht="15" x14ac:dyDescent="0.25">
      <c r="A35" s="8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Celine Syriac</cp:lastModifiedBy>
  <dcterms:created xsi:type="dcterms:W3CDTF">2015-02-10T17:33:11Z</dcterms:created>
  <dcterms:modified xsi:type="dcterms:W3CDTF">2023-12-09T17:07:57Z</dcterms:modified>
</cp:coreProperties>
</file>